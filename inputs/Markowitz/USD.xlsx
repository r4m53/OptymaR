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ptymar\inputs\Markowitz\"/>
    </mc:Choice>
  </mc:AlternateContent>
  <xr:revisionPtr revIDLastSave="0" documentId="13_ncr:1_{6F796143-398C-42E4-922E-8B5B36016794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Activos" sheetId="1" r:id="rId1"/>
    <sheet name="Covarianza" sheetId="2" r:id="rId2"/>
    <sheet name="Correlacion" sheetId="3" r:id="rId3"/>
    <sheet name="Grupos_Default" sheetId="4" r:id="rId4"/>
    <sheet name="Instruccion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K5" i="1"/>
  <c r="K4" i="1"/>
  <c r="K2" i="1"/>
</calcChain>
</file>

<file path=xl/sharedStrings.xml><?xml version="1.0" encoding="utf-8"?>
<sst xmlns="http://schemas.openxmlformats.org/spreadsheetml/2006/main" count="107" uniqueCount="59">
  <si>
    <t>Categoria_General</t>
  </si>
  <si>
    <t>Subcategoria</t>
  </si>
  <si>
    <t>Alias</t>
  </si>
  <si>
    <t>Nombre_Formal</t>
  </si>
  <si>
    <t>Deuda</t>
  </si>
  <si>
    <t>Corto plazo</t>
  </si>
  <si>
    <t>Deuda_Corto</t>
  </si>
  <si>
    <t>Deuda gubernamental/mercado de dinero MXN corto plazo</t>
  </si>
  <si>
    <t>Mediano plazo</t>
  </si>
  <si>
    <t>Deuda_Mediano</t>
  </si>
  <si>
    <t>Deuda nominal MXN mediano plazo</t>
  </si>
  <si>
    <t>Largo plazo</t>
  </si>
  <si>
    <t>Deuda_Largo</t>
  </si>
  <si>
    <t>Deuda nominal MXN largo plazo</t>
  </si>
  <si>
    <t>Inflación largo plazo</t>
  </si>
  <si>
    <t>Udibonos_Largo</t>
  </si>
  <si>
    <t>Deuda ligada a inflación MXN largo plazo</t>
  </si>
  <si>
    <t>Acciones</t>
  </si>
  <si>
    <t>México</t>
  </si>
  <si>
    <t>Acciones_MX</t>
  </si>
  <si>
    <t>Renta variable mexicana</t>
  </si>
  <si>
    <t>Internacional MXN</t>
  </si>
  <si>
    <t>Acciones_Int_MXN</t>
  </si>
  <si>
    <t>Renta variable internacional medida en pesos mexicanos</t>
  </si>
  <si>
    <t>Nombre_Grupo</t>
  </si>
  <si>
    <t>Alias_Activo</t>
  </si>
  <si>
    <t>Min_Grupo_%</t>
  </si>
  <si>
    <t>Max_Grupo_%</t>
  </si>
  <si>
    <t>Comentario</t>
  </si>
  <si>
    <t>Equity_Total</t>
  </si>
  <si>
    <t>Acciones locales + internacionales &lt;= 50%</t>
  </si>
  <si>
    <t>Deuda_Total</t>
  </si>
  <si>
    <t>Ejemplo de grupo deuda</t>
  </si>
  <si>
    <t>Uso del archivo</t>
  </si>
  <si>
    <t>1. La hoja Activos contiene el universo maestro usando los mismos 6 activos del código actual.</t>
  </si>
  <si>
    <t>2. Alias es la llave técnica: debe coincidir exactamente con filas/columnas de Covarianza.</t>
  </si>
  <si>
    <t>3. La hoja Covarianza contiene la matriz anualizada en decimales, no en porcentaje.</t>
  </si>
  <si>
    <t>4. Para una optimización, el programa selecciona los aliases elegidos y genera S_sub = S.loc[seleccionados, seleccionados].</t>
  </si>
  <si>
    <t>5. Retorno_Default_%, Min_Default_% y Max_Default_% están en porcentaje para facilitar edición humana.</t>
  </si>
  <si>
    <t>6. La hoja Grupos_Default contiene ejemplos de restricciones agregadas, como Equity_Total &lt;= 50%.</t>
  </si>
  <si>
    <t>7. La hoja Correlacion es solo auxiliar para revisar supuestos; el motor debe usar Covarianza.</t>
  </si>
  <si>
    <t>alias</t>
  </si>
  <si>
    <t>retorno_default</t>
  </si>
  <si>
    <t>min_default</t>
  </si>
  <si>
    <t>max_default</t>
  </si>
  <si>
    <t>volatilidad_default</t>
  </si>
  <si>
    <t>Otros</t>
  </si>
  <si>
    <t>Crypto</t>
  </si>
  <si>
    <t>Cryptos</t>
  </si>
  <si>
    <t>Default</t>
  </si>
  <si>
    <t>FT-LIQU</t>
  </si>
  <si>
    <t>FT-BONO</t>
  </si>
  <si>
    <t>FT-REAL</t>
  </si>
  <si>
    <t>VMEX</t>
  </si>
  <si>
    <t>FT-GLOB</t>
  </si>
  <si>
    <t>Fee</t>
  </si>
  <si>
    <t>Taxes</t>
  </si>
  <si>
    <t>Alpha</t>
  </si>
  <si>
    <t>Vehiculo_Sugerido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</si>
</sst>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sz val="11"/>
      <color theme="1"/>
      <name val="Carlito"/>
    </font>
    <font>
      <u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15" fontId="1" fillId="2" borderId="0" xfId="0" applyNumberFormat="1" applyFont="1" applyFill="1" applyAlignment="1">
      <alignment horizontal="center"/>
    </xf>
    <xf numFmtId="0" fontId="4" fillId="4" borderId="1" xfId="0" applyFont="1" applyFill="1" applyBorder="1"/>
    <xf numFmtId="0" fontId="5" fillId="0" borderId="0" xfId="0" applyFont="1"/>
    <xf numFmtId="15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osTable" displayName="ActivosTable" ref="A1:M8">
  <tableColumns count="13">
    <tableColumn id="1" xr3:uid="{00000000-0010-0000-0000-000001000000}" name="Categoria_General"/>
    <tableColumn id="2" xr3:uid="{00000000-0010-0000-0000-000002000000}" name="Subcategoria"/>
    <tableColumn id="3" xr3:uid="{00000000-0010-0000-0000-000003000000}" name="alias"/>
    <tableColumn id="4" xr3:uid="{00000000-0010-0000-0000-000004000000}" name="Nombre_Formal"/>
    <tableColumn id="5" xr3:uid="{00000000-0010-0000-0000-000005000000}" name="retorno_default"/>
    <tableColumn id="6" xr3:uid="{00000000-0010-0000-0000-000006000000}" name="min_default"/>
    <tableColumn id="7" xr3:uid="{00000000-0010-0000-0000-000007000000}" name="max_default"/>
    <tableColumn id="8" xr3:uid="{00000000-0010-0000-0000-000008000000}" name="volatilidad_default"/>
    <tableColumn id="9" xr3:uid="{A9C4B1E1-21F1-47DD-BAF4-5617BFBA8D33}" name="Default"/>
    <tableColumn id="10" xr3:uid="{951B3862-07C7-4B58-A045-C582A313372A}" name="Vehiculo_Sugerido"/>
    <tableColumn id="11" xr3:uid="{55635A6F-4AF2-4372-A2CB-F88597B7B69B}" name="Fee" dataDxfId="0">
      <calculatedColumnFormula>0.3*1.16</calculatedColumnFormula>
    </tableColumn>
    <tableColumn id="12" xr3:uid="{BDDD4EFA-87AC-4298-A387-7F6FBBBA8ED1}" name="Taxes"/>
    <tableColumn id="13" xr3:uid="{77615F2A-FDF0-47B2-B6DC-FE0B40F34599}" name="Alph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uposDefaultTable" displayName="GruposDefaultTable" ref="A1:E7">
  <tableColumns count="5">
    <tableColumn id="1" xr3:uid="{00000000-0010-0000-0100-000001000000}" name="Nombre_Grupo"/>
    <tableColumn id="2" xr3:uid="{00000000-0010-0000-0100-000002000000}" name="Alias_Activo"/>
    <tableColumn id="3" xr3:uid="{00000000-0010-0000-0100-000003000000}" name="Min_Grupo_%"/>
    <tableColumn id="4" xr3:uid="{00000000-0010-0000-0100-000004000000}" name="Max_Grupo_%"/>
    <tableColumn id="5" xr3:uid="{00000000-0010-0000-0100-000005000000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E3" sqref="E3"/>
    </sheetView>
  </sheetViews>
  <sheetFormatPr defaultColWidth="9" defaultRowHeight="14.25"/>
  <cols>
    <col min="1" max="1" width="15.125" customWidth="1"/>
    <col min="2" max="2" width="15.875" customWidth="1"/>
    <col min="3" max="3" width="15.25" customWidth="1"/>
    <col min="4" max="4" width="47.5" customWidth="1"/>
    <col min="5" max="5" width="16" customWidth="1"/>
    <col min="6" max="6" width="12.625" customWidth="1"/>
    <col min="7" max="7" width="12.875" customWidth="1"/>
    <col min="8" max="8" width="18.125" customWidth="1"/>
    <col min="10" max="10" width="11.375" customWidth="1"/>
  </cols>
  <sheetData>
    <row r="1" spans="1:13" ht="15">
      <c r="A1" t="s">
        <v>0</v>
      </c>
      <c r="B1" s="1" t="s">
        <v>1</v>
      </c>
      <c r="C1" s="1" t="s">
        <v>41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45</v>
      </c>
      <c r="I1" t="s">
        <v>49</v>
      </c>
      <c r="J1" t="s">
        <v>58</v>
      </c>
      <c r="K1" t="s">
        <v>55</v>
      </c>
      <c r="L1" t="s">
        <v>56</v>
      </c>
      <c r="M1" t="s">
        <v>57</v>
      </c>
    </row>
    <row r="2" spans="1:13">
      <c r="A2" t="s">
        <v>4</v>
      </c>
      <c r="B2" t="s">
        <v>5</v>
      </c>
      <c r="C2" t="s">
        <v>6</v>
      </c>
      <c r="D2" t="s">
        <v>7</v>
      </c>
      <c r="E2" s="2">
        <v>8</v>
      </c>
      <c r="F2" s="2">
        <v>0</v>
      </c>
      <c r="G2" s="2">
        <v>100</v>
      </c>
      <c r="H2" s="2">
        <v>1.5</v>
      </c>
      <c r="I2">
        <v>1</v>
      </c>
      <c r="J2" t="s">
        <v>50</v>
      </c>
      <c r="K2">
        <f t="shared" ref="K2" si="0">0.3*1.16</f>
        <v>0.34799999999999998</v>
      </c>
      <c r="L2">
        <v>0.9</v>
      </c>
      <c r="M2">
        <v>0.3</v>
      </c>
    </row>
    <row r="3" spans="1:13">
      <c r="A3" t="s">
        <v>4</v>
      </c>
      <c r="B3" t="s">
        <v>8</v>
      </c>
      <c r="C3" t="s">
        <v>9</v>
      </c>
      <c r="D3" t="s">
        <v>10</v>
      </c>
      <c r="E3" s="2">
        <v>10</v>
      </c>
      <c r="F3" s="2">
        <v>0</v>
      </c>
      <c r="G3" s="2">
        <v>100</v>
      </c>
      <c r="H3" s="2">
        <v>4</v>
      </c>
      <c r="I3">
        <v>1</v>
      </c>
      <c r="L3">
        <v>0.9</v>
      </c>
    </row>
    <row r="4" spans="1:13">
      <c r="A4" t="s">
        <v>4</v>
      </c>
      <c r="B4" t="s">
        <v>11</v>
      </c>
      <c r="C4" t="s">
        <v>12</v>
      </c>
      <c r="D4" t="s">
        <v>13</v>
      </c>
      <c r="E4" s="2">
        <v>11.5</v>
      </c>
      <c r="F4" s="2">
        <v>0</v>
      </c>
      <c r="G4" s="2">
        <v>100</v>
      </c>
      <c r="H4" s="2">
        <v>10</v>
      </c>
      <c r="I4">
        <v>1</v>
      </c>
      <c r="J4" t="s">
        <v>51</v>
      </c>
      <c r="K4">
        <f>0.7*1.16</f>
        <v>0.81199999999999994</v>
      </c>
      <c r="L4">
        <v>0.9</v>
      </c>
      <c r="M4">
        <v>0.5</v>
      </c>
    </row>
    <row r="5" spans="1:13">
      <c r="A5" t="s">
        <v>4</v>
      </c>
      <c r="B5" t="s">
        <v>14</v>
      </c>
      <c r="C5" t="s">
        <v>15</v>
      </c>
      <c r="D5" t="s">
        <v>16</v>
      </c>
      <c r="E5" s="2">
        <v>12</v>
      </c>
      <c r="F5" s="2">
        <v>0</v>
      </c>
      <c r="G5" s="2">
        <v>100</v>
      </c>
      <c r="H5" s="2">
        <v>12</v>
      </c>
      <c r="I5">
        <v>1</v>
      </c>
      <c r="J5" t="s">
        <v>52</v>
      </c>
      <c r="K5">
        <f>0.7*1.16</f>
        <v>0.81199999999999994</v>
      </c>
      <c r="L5">
        <v>0.9</v>
      </c>
      <c r="M5">
        <v>0.5</v>
      </c>
    </row>
    <row r="6" spans="1:13">
      <c r="A6" t="s">
        <v>17</v>
      </c>
      <c r="B6" t="s">
        <v>18</v>
      </c>
      <c r="C6" t="s">
        <v>19</v>
      </c>
      <c r="D6" t="s">
        <v>20</v>
      </c>
      <c r="E6" s="2">
        <v>15</v>
      </c>
      <c r="F6" s="2">
        <v>0</v>
      </c>
      <c r="G6" s="2">
        <v>100</v>
      </c>
      <c r="H6" s="2">
        <v>24</v>
      </c>
      <c r="I6">
        <v>1</v>
      </c>
      <c r="J6" t="s">
        <v>53</v>
      </c>
      <c r="K6">
        <f>0.19*1.16</f>
        <v>0.22039999999999998</v>
      </c>
    </row>
    <row r="7" spans="1:13">
      <c r="A7" t="s">
        <v>17</v>
      </c>
      <c r="B7" t="s">
        <v>21</v>
      </c>
      <c r="C7" t="s">
        <v>22</v>
      </c>
      <c r="D7" t="s">
        <v>23</v>
      </c>
      <c r="E7" s="2">
        <v>13</v>
      </c>
      <c r="F7" s="2">
        <v>0</v>
      </c>
      <c r="G7" s="2">
        <v>100</v>
      </c>
      <c r="H7" s="2">
        <v>16</v>
      </c>
      <c r="I7">
        <v>1</v>
      </c>
      <c r="J7" t="s">
        <v>54</v>
      </c>
      <c r="K7">
        <f>0.5*1.16</f>
        <v>0.57999999999999996</v>
      </c>
      <c r="M7">
        <v>0.2</v>
      </c>
    </row>
    <row r="8" spans="1:13">
      <c r="A8" t="s">
        <v>46</v>
      </c>
      <c r="B8" t="s">
        <v>47</v>
      </c>
      <c r="C8" s="10" t="s">
        <v>48</v>
      </c>
      <c r="D8" t="s">
        <v>48</v>
      </c>
      <c r="E8">
        <v>20</v>
      </c>
      <c r="F8">
        <v>0</v>
      </c>
      <c r="G8">
        <v>100</v>
      </c>
      <c r="H8">
        <v>30</v>
      </c>
      <c r="I8">
        <v>0</v>
      </c>
      <c r="K8">
        <f>0.6*1.16</f>
        <v>0.69599999999999995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activeCell="B2" sqref="B2:H8"/>
    </sheetView>
  </sheetViews>
  <sheetFormatPr defaultColWidth="9" defaultRowHeight="14.25"/>
  <cols>
    <col min="1" max="1" width="15.5" customWidth="1"/>
    <col min="2" max="2" width="10.75" customWidth="1"/>
    <col min="3" max="3" width="13.625" customWidth="1"/>
    <col min="4" max="4" width="10.75" customWidth="1"/>
    <col min="5" max="5" width="13.25" customWidth="1"/>
    <col min="6" max="6" width="10.875" customWidth="1"/>
    <col min="7" max="7" width="15.5" customWidth="1"/>
    <col min="10" max="10" width="12" style="9" bestFit="1" customWidth="1"/>
  </cols>
  <sheetData>
    <row r="1" spans="1:8" ht="15">
      <c r="A1" s="3" t="s">
        <v>41</v>
      </c>
      <c r="B1" s="1" t="s">
        <v>6</v>
      </c>
      <c r="C1" s="1" t="s">
        <v>9</v>
      </c>
      <c r="D1" s="1" t="s">
        <v>12</v>
      </c>
      <c r="E1" s="1" t="s">
        <v>15</v>
      </c>
      <c r="F1" s="1" t="s">
        <v>19</v>
      </c>
      <c r="G1" s="1" t="s">
        <v>22</v>
      </c>
      <c r="H1" s="8" t="s">
        <v>48</v>
      </c>
    </row>
    <row r="2" spans="1:8" ht="15">
      <c r="A2" s="4" t="s">
        <v>6</v>
      </c>
      <c r="B2">
        <v>2.2499999999999999E-4</v>
      </c>
      <c r="C2">
        <v>4.8000000000000001E-4</v>
      </c>
      <c r="D2">
        <v>7.5000000000000002E-4</v>
      </c>
      <c r="E2">
        <v>5.4000000000000001E-4</v>
      </c>
      <c r="F2">
        <v>-7.2000000000000005E-4</v>
      </c>
      <c r="G2">
        <v>-2.4000000000000001E-4</v>
      </c>
      <c r="H2">
        <v>-4.4999999999999999E-4</v>
      </c>
    </row>
    <row r="3" spans="1:8" ht="15">
      <c r="A3" s="4" t="s">
        <v>9</v>
      </c>
      <c r="B3">
        <v>4.8000000000000001E-4</v>
      </c>
      <c r="C3">
        <v>1.6000000000000001E-3</v>
      </c>
      <c r="D3">
        <v>3.0000000000000001E-3</v>
      </c>
      <c r="E3">
        <v>2.64E-3</v>
      </c>
      <c r="F3">
        <v>-2.3999999999999998E-3</v>
      </c>
      <c r="G3">
        <v>-9.6000000000000002E-4</v>
      </c>
      <c r="H3">
        <v>-1.1999999999999999E-3</v>
      </c>
    </row>
    <row r="4" spans="1:8" ht="15">
      <c r="A4" s="4" t="s">
        <v>12</v>
      </c>
      <c r="B4">
        <v>7.5000000000000002E-4</v>
      </c>
      <c r="C4">
        <v>3.0000000000000001E-3</v>
      </c>
      <c r="D4">
        <v>0.01</v>
      </c>
      <c r="E4">
        <v>1.0200000000000001E-2</v>
      </c>
      <c r="F4">
        <v>-8.3999999999999995E-3</v>
      </c>
      <c r="G4">
        <v>-1.6000000000000001E-3</v>
      </c>
      <c r="H4">
        <v>-6.0000000000000001E-3</v>
      </c>
    </row>
    <row r="5" spans="1:8" ht="15">
      <c r="A5" s="4" t="s">
        <v>15</v>
      </c>
      <c r="B5">
        <v>5.4000000000000001E-4</v>
      </c>
      <c r="C5">
        <v>2.64E-3</v>
      </c>
      <c r="D5">
        <v>1.0200000000000001E-2</v>
      </c>
      <c r="E5">
        <v>1.44E-2</v>
      </c>
      <c r="F5">
        <v>-5.7600000000000004E-3</v>
      </c>
      <c r="G5">
        <v>9.6000000000000002E-4</v>
      </c>
      <c r="H5">
        <v>-3.5999999999999999E-3</v>
      </c>
    </row>
    <row r="6" spans="1:8" ht="15">
      <c r="A6" s="4" t="s">
        <v>19</v>
      </c>
      <c r="B6">
        <v>-7.2000000000000005E-4</v>
      </c>
      <c r="C6">
        <v>-2.3999999999999998E-3</v>
      </c>
      <c r="D6">
        <v>-8.3999999999999995E-3</v>
      </c>
      <c r="E6">
        <v>-5.7600000000000004E-3</v>
      </c>
      <c r="F6">
        <v>5.7599999999999998E-2</v>
      </c>
      <c r="G6">
        <v>1.728E-2</v>
      </c>
      <c r="H6">
        <v>5.04E-2</v>
      </c>
    </row>
    <row r="7" spans="1:8" ht="15">
      <c r="A7" s="4" t="s">
        <v>22</v>
      </c>
      <c r="B7">
        <v>-2.4000000000000001E-4</v>
      </c>
      <c r="C7">
        <v>-9.6000000000000002E-4</v>
      </c>
      <c r="D7">
        <v>-1.6000000000000001E-3</v>
      </c>
      <c r="E7">
        <v>9.6000000000000002E-4</v>
      </c>
      <c r="F7">
        <v>1.728E-2</v>
      </c>
      <c r="G7">
        <v>2.5600000000000001E-2</v>
      </c>
      <c r="H7">
        <v>4.8000000000000001E-2</v>
      </c>
    </row>
    <row r="8" spans="1:8">
      <c r="A8" s="8" t="s">
        <v>48</v>
      </c>
      <c r="B8">
        <v>-4.4999999999999999E-4</v>
      </c>
      <c r="C8">
        <v>-1.1999999999999999E-3</v>
      </c>
      <c r="D8">
        <v>-6.0000000000000001E-3</v>
      </c>
      <c r="E8">
        <v>-3.5999999999999999E-3</v>
      </c>
      <c r="F8">
        <v>5.04E-2</v>
      </c>
      <c r="G8">
        <v>4.8000000000000001E-2</v>
      </c>
      <c r="H8">
        <v>0.36</v>
      </c>
    </row>
    <row r="25" spans="4:4">
      <c r="D2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A10" sqref="A10"/>
    </sheetView>
  </sheetViews>
  <sheetFormatPr defaultColWidth="9" defaultRowHeight="14.25"/>
  <cols>
    <col min="1" max="1" width="15.5" customWidth="1"/>
    <col min="2" max="2" width="10.75" customWidth="1"/>
    <col min="3" max="3" width="13.625" customWidth="1"/>
    <col min="4" max="4" width="10.75" customWidth="1"/>
    <col min="5" max="5" width="13.25" customWidth="1"/>
    <col min="6" max="6" width="10.875" customWidth="1"/>
    <col min="7" max="7" width="15.5" customWidth="1"/>
  </cols>
  <sheetData>
    <row r="1" spans="1:8" ht="15">
      <c r="A1" s="3" t="s">
        <v>2</v>
      </c>
      <c r="B1" s="1" t="s">
        <v>6</v>
      </c>
      <c r="C1" s="1" t="s">
        <v>9</v>
      </c>
      <c r="D1" s="1" t="s">
        <v>12</v>
      </c>
      <c r="E1" s="1" t="s">
        <v>15</v>
      </c>
      <c r="F1" s="1" t="s">
        <v>19</v>
      </c>
      <c r="G1" s="1" t="s">
        <v>22</v>
      </c>
      <c r="H1" s="8" t="s">
        <v>48</v>
      </c>
    </row>
    <row r="2" spans="1:8" ht="15">
      <c r="A2" s="4" t="s">
        <v>6</v>
      </c>
      <c r="B2">
        <v>1</v>
      </c>
      <c r="C2">
        <v>0.8</v>
      </c>
      <c r="D2">
        <v>0.5</v>
      </c>
      <c r="E2">
        <v>0.3</v>
      </c>
      <c r="F2">
        <v>-0.2</v>
      </c>
      <c r="G2">
        <v>-0.1</v>
      </c>
      <c r="H2">
        <v>-0.05</v>
      </c>
    </row>
    <row r="3" spans="1:8" ht="15">
      <c r="A3" s="4" t="s">
        <v>9</v>
      </c>
      <c r="B3">
        <v>0.8</v>
      </c>
      <c r="C3">
        <v>1</v>
      </c>
      <c r="D3">
        <v>0.75</v>
      </c>
      <c r="E3">
        <v>0.55000000000000004</v>
      </c>
      <c r="F3">
        <v>-0.25</v>
      </c>
      <c r="G3">
        <v>-0.15</v>
      </c>
      <c r="H3">
        <v>-4.9999999999999996E-2</v>
      </c>
    </row>
    <row r="4" spans="1:8" ht="15">
      <c r="A4" s="4" t="s">
        <v>12</v>
      </c>
      <c r="B4">
        <v>0.5</v>
      </c>
      <c r="C4">
        <v>0.75</v>
      </c>
      <c r="D4">
        <v>0.99999999999999978</v>
      </c>
      <c r="E4">
        <v>0.85000000000000009</v>
      </c>
      <c r="F4">
        <v>-0.35</v>
      </c>
      <c r="G4">
        <v>-0.1</v>
      </c>
      <c r="H4">
        <v>-0.1</v>
      </c>
    </row>
    <row r="5" spans="1:8" ht="15">
      <c r="A5" s="4" t="s">
        <v>15</v>
      </c>
      <c r="B5">
        <v>0.3</v>
      </c>
      <c r="C5">
        <v>0.55000000000000004</v>
      </c>
      <c r="D5">
        <v>0.85000000000000009</v>
      </c>
      <c r="E5">
        <v>1</v>
      </c>
      <c r="F5">
        <v>-0.2</v>
      </c>
      <c r="G5">
        <v>0.05</v>
      </c>
      <c r="H5">
        <v>-0.05</v>
      </c>
    </row>
    <row r="6" spans="1:8" ht="15">
      <c r="A6" s="4" t="s">
        <v>19</v>
      </c>
      <c r="B6">
        <v>-0.2</v>
      </c>
      <c r="C6">
        <v>-0.25</v>
      </c>
      <c r="D6">
        <v>-0.35</v>
      </c>
      <c r="E6">
        <v>-0.2</v>
      </c>
      <c r="F6">
        <v>1</v>
      </c>
      <c r="G6">
        <v>0.45000000000000007</v>
      </c>
      <c r="H6">
        <v>0.35000000000000003</v>
      </c>
    </row>
    <row r="7" spans="1:8" ht="15">
      <c r="A7" s="4" t="s">
        <v>22</v>
      </c>
      <c r="B7">
        <v>-0.1</v>
      </c>
      <c r="C7">
        <v>-0.15</v>
      </c>
      <c r="D7">
        <v>-0.1</v>
      </c>
      <c r="E7">
        <v>0.05</v>
      </c>
      <c r="F7">
        <v>0.45000000000000007</v>
      </c>
      <c r="G7">
        <v>1</v>
      </c>
      <c r="H7">
        <v>0.5</v>
      </c>
    </row>
    <row r="8" spans="1:8">
      <c r="A8" s="8" t="s">
        <v>48</v>
      </c>
      <c r="B8">
        <v>-0.05</v>
      </c>
      <c r="C8">
        <v>-4.9999999999999996E-2</v>
      </c>
      <c r="D8">
        <v>-0.1</v>
      </c>
      <c r="E8">
        <v>-0.05</v>
      </c>
      <c r="F8">
        <v>0.35000000000000003</v>
      </c>
      <c r="G8">
        <v>0.5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A8" sqref="A8"/>
    </sheetView>
  </sheetViews>
  <sheetFormatPr defaultColWidth="9" defaultRowHeight="14.25"/>
  <cols>
    <col min="1" max="1" width="12.75" customWidth="1"/>
    <col min="2" max="2" width="15.25" customWidth="1"/>
    <col min="3" max="3" width="11.75" customWidth="1"/>
    <col min="4" max="4" width="12.125" customWidth="1"/>
    <col min="5" max="5" width="33.375" customWidth="1"/>
  </cols>
  <sheetData>
    <row r="1" spans="1:5" ht="15">
      <c r="A1" s="7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t="s">
        <v>29</v>
      </c>
      <c r="B2" t="s">
        <v>19</v>
      </c>
      <c r="C2" s="2">
        <v>0</v>
      </c>
      <c r="D2" s="2">
        <v>50</v>
      </c>
      <c r="E2" t="s">
        <v>30</v>
      </c>
    </row>
    <row r="3" spans="1:5">
      <c r="A3" t="s">
        <v>29</v>
      </c>
      <c r="B3" t="s">
        <v>22</v>
      </c>
      <c r="C3" s="2">
        <v>0</v>
      </c>
      <c r="D3" s="2">
        <v>50</v>
      </c>
      <c r="E3" t="s">
        <v>30</v>
      </c>
    </row>
    <row r="4" spans="1:5">
      <c r="A4" t="s">
        <v>31</v>
      </c>
      <c r="B4" t="s">
        <v>6</v>
      </c>
      <c r="C4" s="2">
        <v>0</v>
      </c>
      <c r="D4" s="2">
        <v>100</v>
      </c>
      <c r="E4" t="s">
        <v>32</v>
      </c>
    </row>
    <row r="5" spans="1:5">
      <c r="A5" t="s">
        <v>31</v>
      </c>
      <c r="B5" t="s">
        <v>9</v>
      </c>
      <c r="C5" s="2">
        <v>0</v>
      </c>
      <c r="D5" s="2">
        <v>100</v>
      </c>
      <c r="E5" t="s">
        <v>32</v>
      </c>
    </row>
    <row r="6" spans="1:5">
      <c r="A6" t="s">
        <v>31</v>
      </c>
      <c r="B6" t="s">
        <v>12</v>
      </c>
      <c r="C6" s="2">
        <v>0</v>
      </c>
      <c r="D6" s="2">
        <v>100</v>
      </c>
      <c r="E6" t="s">
        <v>32</v>
      </c>
    </row>
    <row r="7" spans="1:5">
      <c r="A7" t="s">
        <v>31</v>
      </c>
      <c r="B7" t="s">
        <v>15</v>
      </c>
      <c r="C7" s="2">
        <v>0</v>
      </c>
      <c r="D7" s="2">
        <v>100</v>
      </c>
      <c r="E7" t="s">
        <v>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"/>
  <sheetViews>
    <sheetView workbookViewId="0"/>
  </sheetViews>
  <sheetFormatPr defaultColWidth="9" defaultRowHeight="14.25"/>
  <cols>
    <col min="1" max="1" width="120" customWidth="1"/>
  </cols>
  <sheetData>
    <row r="1" spans="1:1" ht="18">
      <c r="A1" s="5" t="s">
        <v>33</v>
      </c>
    </row>
    <row r="2" spans="1:1">
      <c r="A2" s="6" t="s">
        <v>34</v>
      </c>
    </row>
    <row r="3" spans="1:1">
      <c r="A3" s="6" t="s">
        <v>35</v>
      </c>
    </row>
    <row r="4" spans="1:1">
      <c r="A4" s="6" t="s">
        <v>36</v>
      </c>
    </row>
    <row r="5" spans="1:1">
      <c r="A5" s="6" t="s">
        <v>37</v>
      </c>
    </row>
    <row r="6" spans="1:1">
      <c r="A6" s="6" t="s">
        <v>38</v>
      </c>
    </row>
    <row r="7" spans="1:1">
      <c r="A7" s="6" t="s">
        <v>39</v>
      </c>
    </row>
    <row r="8" spans="1:1">
      <c r="A8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Activos</vt:lpstr>
      <vt:lpstr>Covarianza</vt:lpstr>
      <vt:lpstr>Correlacion</vt:lpstr>
      <vt:lpstr>Grupos_Default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ramse gutierrez</cp:lastModifiedBy>
  <dcterms:modified xsi:type="dcterms:W3CDTF">2026-06-13T22:59:54Z</dcterms:modified>
</cp:coreProperties>
</file>